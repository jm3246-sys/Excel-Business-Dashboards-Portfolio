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IKU\Downloads\"/>
    </mc:Choice>
  </mc:AlternateContent>
  <xr:revisionPtr revIDLastSave="0" documentId="13_ncr:1_{F36FDFB0-0C77-434E-A683-EF41D269DB7F}" xr6:coauthVersionLast="47" xr6:coauthVersionMax="47" xr10:uidLastSave="{00000000-0000-0000-0000-000000000000}"/>
  <bookViews>
    <workbookView xWindow="-108" yWindow="-108" windowWidth="23256" windowHeight="12456" firstSheet="9" activeTab="9" xr2:uid="{5AF5D4AF-D10E-435D-ABA8-B0D0494ED23E}"/>
  </bookViews>
  <sheets>
    <sheet name="Data" sheetId="1" r:id="rId1"/>
    <sheet name="KPI" sheetId="7" r:id="rId2"/>
    <sheet name="Rating" sheetId="9" r:id="rId3"/>
    <sheet name="Employee by Gender" sheetId="10" r:id="rId4"/>
    <sheet name="Education-wise Attrition" sheetId="12" r:id="rId5"/>
    <sheet name="Attrition By Job Role" sheetId="13" r:id="rId6"/>
    <sheet name="Department-wise Attrition" sheetId="14" r:id="rId7"/>
    <sheet name="Attrition By Age-Group" sheetId="15" r:id="rId8"/>
    <sheet name="Attrition By Marriage Status" sheetId="16" r:id="rId9"/>
    <sheet name="Dashboard" sheetId="8" r:id="rId10"/>
    <sheet name="Images" sheetId="2" r:id="rId11"/>
    <sheet name="Background 1" sheetId="3" r:id="rId12"/>
    <sheet name="Background 2" sheetId="4" r:id="rId13"/>
    <sheet name="Background 3" sheetId="5" r:id="rId14"/>
    <sheet name="Background 4" sheetId="6" r:id="rId15"/>
  </sheets>
  <definedNames>
    <definedName name="_xlchart.v1.0" hidden="1">'Attrition By Job Role'!$E$4:$E$12</definedName>
    <definedName name="_xlchart.v1.1" hidden="1">'Attrition By Job Role'!$F$3</definedName>
    <definedName name="_xlchart.v1.2" hidden="1">'Attrition By Job Role'!$F$4:$F$12</definedName>
    <definedName name="_xlchart.v1.7" hidden="1">'Attrition By Job Role'!$E$4:$E$12</definedName>
    <definedName name="_xlchart.v1.8" hidden="1">'Attrition By Job Role'!$F$3</definedName>
    <definedName name="_xlchart.v1.9" hidden="1">'Attrition By Job Role'!$F$4:$F$12</definedName>
    <definedName name="_xlchart.v2.3" hidden="1">'Attrition By Marriage Status'!$D$4:$D$6</definedName>
    <definedName name="_xlchart.v2.4" hidden="1">'Attrition By Marriage Status'!$E$4:$E$6</definedName>
    <definedName name="_xlchart.v2.5" hidden="1">'Attrition By Marriage Status'!$D$4:$D$6</definedName>
    <definedName name="_xlchart.v2.6" hidden="1">'Attrition By Marriage Status'!$E$4:$E$6</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5" i="14"/>
  <c r="E6" i="14"/>
  <c r="E4" i="14"/>
  <c r="E5" i="16"/>
  <c r="E6" i="16"/>
  <c r="F11" i="13"/>
  <c r="F5" i="13"/>
  <c r="D7" i="7"/>
  <c r="F4" i="13"/>
  <c r="C7" i="7"/>
  <c r="F9" i="13"/>
  <c r="B12" i="10"/>
  <c r="B7" i="7"/>
  <c r="B11" i="10"/>
  <c r="F7" i="13"/>
  <c r="F12" i="13"/>
  <c r="E7" i="7"/>
  <c r="E4" i="16"/>
  <c r="F10" i="13"/>
  <c r="F8" i="13"/>
  <c r="A7" i="7"/>
  <c r="B6" i="9"/>
  <c r="F6" i="13"/>
  <c r="C11" i="10" l="1"/>
  <c r="C12" i="10"/>
  <c r="C6" i="9"/>
  <c r="B7" i="9"/>
  <c r="C7" i="9" s="1"/>
  <c r="F4" i="14"/>
  <c r="F6" i="14"/>
  <c r="F5" i="14"/>
</calcChain>
</file>

<file path=xl/sharedStrings.xml><?xml version="1.0" encoding="utf-8"?>
<sst xmlns="http://schemas.openxmlformats.org/spreadsheetml/2006/main" count="19219" uniqueCount="1569">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</sst>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2-F486-544C-9DC9-6F287EEE2158}"/>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[Cyera HR-Employee-Analysis Dashboard.xlsx]Education-wise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553E56EA-B69E-4EAB-8FA9-775A8072E4E1}" type="CELLRANGE">
                      <a:rPr lang="en-US"/>
                      <a:pPr/>
                      <a:t>[CELLRANGE]</a:t>
                    </a:fld>
                    <a:r>
                      <a:rPr lang="en-US" baseline="0"/>
                      <a:t>, </a:t>
                    </a:r>
                    <a:fld id="{736CDCD7-AF35-43CC-8AF0-B732A1FB3DD6}"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1648F040-208F-4EE5-8D98-A2F39A67FCD5}" type="CELLRANGE">
                      <a:rPr lang="en-US"/>
                      <a:pPr/>
                      <a:t>[CELLRANGE]</a:t>
                    </a:fld>
                    <a:r>
                      <a:rPr lang="en-US" baseline="0"/>
                      <a:t>, </a:t>
                    </a:r>
                    <a:fld id="{3FD21728-9CD3-499F-B753-15230F3BE6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DE86FFA5-8D73-46F6-85D6-63B3671D0C06}" type="CELLRANGE">
                      <a:rPr lang="en-US"/>
                      <a:pPr/>
                      <a:t>[CELLRANGE]</a:t>
                    </a:fld>
                    <a:r>
                      <a:rPr lang="en-US" baseline="0"/>
                      <a:t>, </a:t>
                    </a:r>
                    <a:fld id="{8AE7ED36-F301-4148-862B-756F998946C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[Cyera HR-Employee-Analysis Dashboard.xlsx]Attrition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[Cyera HR-Employee-Analysis Dashboard.xlsx]Education-wise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CAC42545-499C-4B71-93AB-77D501F2371D}" type="CELLRANGE">
                      <a:rPr lang="en-US"/>
                      <a:pPr/>
                      <a:t>[CELLRANGE]</a:t>
                    </a:fld>
                    <a:r>
                      <a:rPr lang="en-US" baseline="0"/>
                      <a:t>, </a:t>
                    </a:r>
                    <a:fld id="{38EC1316-8754-45D9-A5FF-E62A141BA983}"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57363DA0-F201-442F-BF5E-AAC05CC9DF37}" type="CELLRANGE">
                      <a:rPr lang="en-US"/>
                      <a:pPr/>
                      <a:t>[CELLRANGE]</a:t>
                    </a:fld>
                    <a:r>
                      <a:rPr lang="en-US" baseline="0"/>
                      <a:t>, </a:t>
                    </a:r>
                    <a:fld id="{166C141D-C53C-4089-93D0-9B8B191032DE}"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A8246AB2-04E0-48A9-AF8E-1B4BD7A97280}" type="CELLRANGE">
                      <a:rPr lang="en-US"/>
                      <a:pPr/>
                      <a:t>[CELLRANGE]</a:t>
                    </a:fld>
                    <a:r>
                      <a:rPr lang="en-US" baseline="0"/>
                      <a:t>, </a:t>
                    </a:r>
                    <a:fld id="{A47627AA-3259-40FF-80F6-8D741A9A6C70}"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[Cyera HR-Employee-Analysis Dashboard.xlsx]Attrition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visibility seriesName="0" categoryName="1" value="1"/>
          </cx:dataLabels>
          <cx:dataId val="0"/>
          <cx:layoutPr>
            <cx:parentLabelLayout val="banner"/>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E7725989-8B5B-D341-8478-E6A4692692CA}">
          <cx:tx>
            <cx:txData>
              <cx:f>_xlchart.v1.8</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408940</xdr:colOff>
      <xdr:row>2</xdr:row>
      <xdr:rowOff>12700</xdr:rowOff>
    </xdr:from>
    <xdr:to>
      <xdr:col>10</xdr:col>
      <xdr:colOff>68580</xdr:colOff>
      <xdr:row>21</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990600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0640" y="2786380"/>
              <a:ext cx="10309860" cy="390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812800</xdr:colOff>
      <xdr:row>8</xdr:row>
      <xdr:rowOff>50800</xdr:rowOff>
    </xdr:from>
    <xdr:to>
      <xdr:col>8</xdr:col>
      <xdr:colOff>447040</xdr:colOff>
      <xdr:row>21</xdr:row>
      <xdr:rowOff>152400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452120</xdr:colOff>
      <xdr:row>1</xdr:row>
      <xdr:rowOff>180340</xdr:rowOff>
    </xdr:from>
    <xdr:to>
      <xdr:col>7</xdr:col>
      <xdr:colOff>314960</xdr:colOff>
      <xdr:row>15</xdr:row>
      <xdr:rowOff>83820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3230" y="2786380"/>
              <a:ext cx="473964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812800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8370769" cy="7927000"/>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  </a:t>
          </a:r>
          <a:r>
            <a:rPr lang="en-GB" sz="3200">
              <a:latin typeface="Britannic Bold" panose="020B0903060703020204" pitchFamily="34" charset="77"/>
            </a:rPr>
            <a:t>JOB SATISFACTION RATING</a:t>
          </a:r>
          <a:endParaRPr lang="en-GB" sz="3600">
            <a:latin typeface="Britannic Bold" panose="020B0903060703020204" pitchFamily="34" charset="77"/>
          </a:endParaRPr>
        </a:p>
      </xdr:txBody>
    </xdr:sp>
    <xdr:clientData/>
  </xdr:twoCellAnchor>
  <xdr:twoCellAnchor>
    <xdr:from>
      <xdr:col>19</xdr:col>
      <xdr:colOff>622300</xdr:colOff>
      <xdr:row>1</xdr:row>
      <xdr:rowOff>38100</xdr:rowOff>
    </xdr:from>
    <xdr:to>
      <xdr:col>21</xdr:col>
      <xdr:colOff>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  Attrition By Job Role</a:t>
          </a:r>
        </a:p>
      </xdr:txBody>
    </xdr:sp>
    <xdr:clientData/>
  </xdr:twoCellAnchor>
  <xdr:twoCellAnchor>
    <xdr:from>
      <xdr:col>14</xdr:col>
      <xdr:colOff>775138</xdr:colOff>
      <xdr:row>13</xdr:row>
      <xdr:rowOff>101600</xdr:rowOff>
    </xdr:from>
    <xdr:to>
      <xdr:col>20</xdr:col>
      <xdr:colOff>1786758</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730655" y="2663497"/>
              <a:ext cx="6135413" cy="25364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147144</xdr:colOff>
      <xdr:row>26</xdr:row>
      <xdr:rowOff>88025</xdr:rowOff>
    </xdr:from>
    <xdr:to>
      <xdr:col>16</xdr:col>
      <xdr:colOff>785210</xdr:colOff>
      <xdr:row>28</xdr:row>
      <xdr:rowOff>100725</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1248696" y="5211818"/>
          <a:ext cx="3199962" cy="40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669159</xdr:colOff>
      <xdr:row>33</xdr:row>
      <xdr:rowOff>180428</xdr:rowOff>
    </xdr:from>
    <xdr:to>
      <xdr:col>20</xdr:col>
      <xdr:colOff>1497725</xdr:colOff>
      <xdr:row>39</xdr:row>
      <xdr:rowOff>180428</xdr:rowOff>
    </xdr:to>
    <mc:AlternateContent xmlns:mc="http://schemas.openxmlformats.org/markup-compatibility/2006">
      <mc:Choice xmlns:a14="http://schemas.microsoft.com/office/drawing/2010/main"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186573" y="6683704"/>
              <a:ext cx="3390462" cy="1182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656021</xdr:colOff>
      <xdr:row>27</xdr:row>
      <xdr:rowOff>36347</xdr:rowOff>
    </xdr:from>
    <xdr:to>
      <xdr:col>20</xdr:col>
      <xdr:colOff>1484587</xdr:colOff>
      <xdr:row>33</xdr:row>
      <xdr:rowOff>118240</xdr:rowOff>
    </xdr:to>
    <mc:AlternateContent xmlns:mc="http://schemas.openxmlformats.org/markup-compatibility/2006">
      <mc:Choice xmlns:a14="http://schemas.microsoft.com/office/drawing/2010/main"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5173435" y="5357209"/>
              <a:ext cx="3390462" cy="1264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1.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2.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9" y="322729"/>
          <a:ext cx="13504209" cy="7741037"/>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295835"/>
          <a:ext cx="13540068" cy="7706075"/>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394447</xdr:colOff>
      <xdr:row>1</xdr:row>
      <xdr:rowOff>107576</xdr:rowOff>
    </xdr:from>
    <xdr:to>
      <xdr:col>21</xdr:col>
      <xdr:colOff>523315</xdr:colOff>
      <xdr:row>40</xdr:row>
      <xdr:rowOff>87868</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1066800" y="30480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28919"/>
          <a:ext cx="13611786" cy="7637943"/>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7.727617476849"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H16" sqref="H16"/>
    </sheetView>
  </sheetViews>
  <sheetFormatPr defaultColWidth="11.19921875" defaultRowHeight="15.6" x14ac:dyDescent="0.3"/>
  <cols>
    <col min="1" max="1" width="24.19921875" bestFit="1" customWidth="1"/>
    <col min="2" max="2" width="22.5" bestFit="1" customWidth="1"/>
    <col min="3" max="3" width="13.796875" bestFit="1" customWidth="1"/>
    <col min="4" max="4" width="15.5" bestFit="1" customWidth="1"/>
    <col min="5" max="5" width="12.296875" bestFit="1" customWidth="1"/>
  </cols>
  <sheetData>
    <row r="3" spans="1:5" x14ac:dyDescent="0.3">
      <c r="A3" t="s">
        <v>1554</v>
      </c>
      <c r="B3" t="s">
        <v>1555</v>
      </c>
      <c r="C3" t="s">
        <v>1556</v>
      </c>
    </row>
    <row r="4" spans="1:5" x14ac:dyDescent="0.3">
      <c r="A4">
        <v>1470</v>
      </c>
      <c r="B4">
        <v>237</v>
      </c>
      <c r="C4">
        <v>36.923809523809524</v>
      </c>
    </row>
    <row r="6" spans="1:5" x14ac:dyDescent="0.3">
      <c r="A6" s="1" t="s">
        <v>1557</v>
      </c>
      <c r="B6" s="1" t="s">
        <v>1558</v>
      </c>
      <c r="C6" s="1" t="s">
        <v>1559</v>
      </c>
      <c r="D6" s="1" t="s">
        <v>1560</v>
      </c>
      <c r="E6" s="1" t="s">
        <v>1561</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C7" sqref="C7"/>
    </sheetView>
  </sheetViews>
  <sheetFormatPr defaultColWidth="11.19921875" defaultRowHeight="15.6" x14ac:dyDescent="0.3"/>
  <cols>
    <col min="1" max="1" width="23.796875" bestFit="1" customWidth="1"/>
  </cols>
  <sheetData>
    <row r="3" spans="1:3" x14ac:dyDescent="0.3">
      <c r="A3" t="s">
        <v>1562</v>
      </c>
    </row>
    <row r="4" spans="1:3" x14ac:dyDescent="0.3">
      <c r="A4" s="4">
        <v>2.6265306122448981</v>
      </c>
    </row>
    <row r="6" spans="1:3" x14ac:dyDescent="0.3">
      <c r="A6" t="s">
        <v>1563</v>
      </c>
      <c r="B6" s="4">
        <f>GETPIVOTDATA("Job Satisfaction",$A$3)</f>
        <v>2.6265306122448981</v>
      </c>
      <c r="C6" s="3">
        <f>B6/4</f>
        <v>0.65663265306122454</v>
      </c>
    </row>
    <row r="7" spans="1:3" x14ac:dyDescent="0.3">
      <c r="A7" s="4" t="s">
        <v>1564</v>
      </c>
      <c r="B7" s="4">
        <f>4-B6</f>
        <v>1.3734693877551019</v>
      </c>
      <c r="C7" s="3">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zoomScaleNormal="100" workbookViewId="0">
      <selection activeCell="AL33" sqref="AL33"/>
    </sheetView>
  </sheetViews>
  <sheetFormatPr defaultColWidth="11.19921875" defaultRowHeight="15.6" x14ac:dyDescent="0.3"/>
  <cols>
    <col min="1" max="1" width="13" bestFit="1" customWidth="1"/>
    <col min="2" max="2" width="24.1992187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1565</v>
      </c>
      <c r="B3" t="s">
        <v>1554</v>
      </c>
    </row>
    <row r="4" spans="1:3" x14ac:dyDescent="0.3">
      <c r="A4" s="7" t="s">
        <v>51</v>
      </c>
      <c r="B4">
        <v>588</v>
      </c>
    </row>
    <row r="5" spans="1:3" x14ac:dyDescent="0.3">
      <c r="A5" s="7" t="s">
        <v>62</v>
      </c>
      <c r="B5">
        <v>882</v>
      </c>
    </row>
    <row r="6" spans="1:3" x14ac:dyDescent="0.3">
      <c r="A6" s="7" t="s">
        <v>1566</v>
      </c>
      <c r="B6">
        <v>1470</v>
      </c>
    </row>
    <row r="11" spans="1:3" x14ac:dyDescent="0.3">
      <c r="A11" t="s">
        <v>51</v>
      </c>
      <c r="B11">
        <f>IFERROR(GETPIVOTDATA("Employee Number",$A$3,"Gender","Female"),0)</f>
        <v>588</v>
      </c>
      <c r="C11" s="2">
        <f>IFERROR(B11/($B$11+$B$12),0)</f>
        <v>0.4</v>
      </c>
    </row>
    <row r="12" spans="1:3" x14ac:dyDescent="0.3">
      <c r="A12" t="s">
        <v>62</v>
      </c>
      <c r="B12">
        <f>IFERROR(GETPIVOTDATA("Employee Number",$A$3,"Gender","Male"),0)</f>
        <v>882</v>
      </c>
      <c r="C12" s="2">
        <f>IFERROR(B12/($B$11+$B$12),0)</f>
        <v>0.6</v>
      </c>
    </row>
    <row r="13" spans="1:3" x14ac:dyDescent="0.3">
      <c r="C13" s="3"/>
    </row>
    <row r="16" spans="1:3" x14ac:dyDescent="0.3">
      <c r="C16" s="3"/>
    </row>
    <row r="17" spans="3:3" x14ac:dyDescent="0.3">
      <c r="C17"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workbookViewId="0">
      <selection activeCell="C9" sqref="C9"/>
    </sheetView>
  </sheetViews>
  <sheetFormatPr defaultColWidth="11.19921875" defaultRowHeight="15.6" x14ac:dyDescent="0.3"/>
  <cols>
    <col min="1" max="1" width="16.296875" bestFit="1" customWidth="1"/>
    <col min="2" max="3" width="22.5" bestFit="1" customWidth="1"/>
  </cols>
  <sheetData>
    <row r="3" spans="1:2" x14ac:dyDescent="0.3">
      <c r="A3" s="6" t="s">
        <v>1565</v>
      </c>
      <c r="B3" t="s">
        <v>1555</v>
      </c>
    </row>
    <row r="4" spans="1:2" x14ac:dyDescent="0.3">
      <c r="A4" s="7" t="s">
        <v>134</v>
      </c>
      <c r="B4">
        <v>5</v>
      </c>
    </row>
    <row r="5" spans="1:2" x14ac:dyDescent="0.3">
      <c r="A5" s="7" t="s">
        <v>65</v>
      </c>
      <c r="B5">
        <v>31</v>
      </c>
    </row>
    <row r="6" spans="1:2" x14ac:dyDescent="0.3">
      <c r="A6" s="7" t="s">
        <v>55</v>
      </c>
      <c r="B6">
        <v>44</v>
      </c>
    </row>
    <row r="7" spans="1:2" x14ac:dyDescent="0.3">
      <c r="A7" s="7" t="s">
        <v>71</v>
      </c>
      <c r="B7">
        <v>58</v>
      </c>
    </row>
    <row r="8" spans="1:2" x14ac:dyDescent="0.3">
      <c r="A8" s="7" t="s">
        <v>77</v>
      </c>
      <c r="B8">
        <v>99</v>
      </c>
    </row>
    <row r="9" spans="1:2" x14ac:dyDescent="0.3">
      <c r="A9" s="7" t="s">
        <v>1566</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topLeftCell="A12" workbookViewId="0">
      <selection activeCell="B4" sqref="B4"/>
    </sheetView>
  </sheetViews>
  <sheetFormatPr defaultColWidth="11.19921875" defaultRowHeight="15.6" x14ac:dyDescent="0.3"/>
  <cols>
    <col min="1" max="1" width="23.19921875" bestFit="1" customWidth="1"/>
    <col min="2" max="2" width="23.5" bestFit="1" customWidth="1"/>
    <col min="5" max="5" width="23.19921875" bestFit="1" customWidth="1"/>
  </cols>
  <sheetData>
    <row r="3" spans="1:6" x14ac:dyDescent="0.3">
      <c r="A3" s="6" t="s">
        <v>1565</v>
      </c>
      <c r="B3" t="s">
        <v>1567</v>
      </c>
      <c r="E3" t="s">
        <v>9</v>
      </c>
      <c r="F3" t="s">
        <v>0</v>
      </c>
    </row>
    <row r="4" spans="1:6" x14ac:dyDescent="0.3">
      <c r="A4" s="7" t="s">
        <v>83</v>
      </c>
      <c r="B4">
        <v>131</v>
      </c>
      <c r="E4" t="str">
        <f>A4</f>
        <v>Healthcare Representative</v>
      </c>
      <c r="F4">
        <f>GETPIVOTDATA("CF_attrition count",$A$3,"Job Role","Healthcare Representative")</f>
        <v>131</v>
      </c>
    </row>
    <row r="5" spans="1:6" x14ac:dyDescent="0.3">
      <c r="A5" s="7" t="s">
        <v>163</v>
      </c>
      <c r="B5">
        <v>52</v>
      </c>
      <c r="E5" t="str">
        <f t="shared" ref="E5:E12" si="0">A5</f>
        <v>Human Resources</v>
      </c>
      <c r="F5">
        <f>GETPIVOTDATA("CF_attrition count",$A$3,"Job Role","Human Resources")</f>
        <v>52</v>
      </c>
    </row>
    <row r="6" spans="1:6" x14ac:dyDescent="0.3">
      <c r="A6" s="7" t="s">
        <v>68</v>
      </c>
      <c r="B6">
        <v>259</v>
      </c>
      <c r="E6" t="str">
        <f t="shared" si="0"/>
        <v>Laboratory Technician</v>
      </c>
      <c r="F6">
        <f>GETPIVOTDATA("CF_attrition count",$A$3,"Job Role","Laboratory Technician")</f>
        <v>259</v>
      </c>
    </row>
    <row r="7" spans="1:6" x14ac:dyDescent="0.3">
      <c r="A7" s="7" t="s">
        <v>95</v>
      </c>
      <c r="B7">
        <v>102</v>
      </c>
      <c r="E7" t="str">
        <f t="shared" si="0"/>
        <v>Manager</v>
      </c>
      <c r="F7">
        <f>GETPIVOTDATA("CF_attrition count",$A$3,"Job Role","Manager")</f>
        <v>102</v>
      </c>
    </row>
    <row r="8" spans="1:6" x14ac:dyDescent="0.3">
      <c r="A8" s="7" t="s">
        <v>81</v>
      </c>
      <c r="B8">
        <v>145</v>
      </c>
      <c r="E8" t="str">
        <f t="shared" si="0"/>
        <v>Manufacturing Director</v>
      </c>
      <c r="F8">
        <f>GETPIVOTDATA("CF_attrition count",$A$3,"Job Role","Manufacturing Director")</f>
        <v>145</v>
      </c>
    </row>
    <row r="9" spans="1:6" x14ac:dyDescent="0.3">
      <c r="A9" s="7" t="s">
        <v>101</v>
      </c>
      <c r="B9">
        <v>80</v>
      </c>
      <c r="E9" t="str">
        <f t="shared" si="0"/>
        <v>Research Director</v>
      </c>
      <c r="F9">
        <f>GETPIVOTDATA("CF_attrition count",$A$3,"Job Role","Research Director")</f>
        <v>80</v>
      </c>
    </row>
    <row r="10" spans="1:6" x14ac:dyDescent="0.3">
      <c r="A10" s="7" t="s">
        <v>63</v>
      </c>
      <c r="B10">
        <v>292</v>
      </c>
      <c r="E10" t="str">
        <f t="shared" si="0"/>
        <v>Research Scientist</v>
      </c>
      <c r="F10">
        <f>GETPIVOTDATA("CF_attrition count",$A$3,"Job Role","Research Scientist")</f>
        <v>292</v>
      </c>
    </row>
    <row r="11" spans="1:6" x14ac:dyDescent="0.3">
      <c r="A11" s="7" t="s">
        <v>52</v>
      </c>
      <c r="B11">
        <v>326</v>
      </c>
      <c r="E11" t="str">
        <f t="shared" si="0"/>
        <v>Sales Executive</v>
      </c>
      <c r="F11">
        <f>GETPIVOTDATA("CF_attrition count",$A$3,"Job Role","Sales Executive")</f>
        <v>326</v>
      </c>
    </row>
    <row r="12" spans="1:6" x14ac:dyDescent="0.3">
      <c r="A12" s="7" t="s">
        <v>99</v>
      </c>
      <c r="B12">
        <v>83</v>
      </c>
      <c r="E12" t="str">
        <f t="shared" si="0"/>
        <v>Sales Representative</v>
      </c>
      <c r="F12">
        <f>GETPIVOTDATA("CF_attrition count",$A$3,"Job Role","Sales Representative")</f>
        <v>83</v>
      </c>
    </row>
    <row r="13" spans="1:6" x14ac:dyDescent="0.3">
      <c r="A13" s="7" t="s">
        <v>1566</v>
      </c>
      <c r="B13">
        <v>1470</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A5" sqref="A5"/>
    </sheetView>
  </sheetViews>
  <sheetFormatPr defaultColWidth="11.19921875" defaultRowHeight="15.6" x14ac:dyDescent="0.3"/>
  <cols>
    <col min="1" max="1" width="13" bestFit="1" customWidth="1"/>
    <col min="2" max="2" width="22.5" bestFit="1" customWidth="1"/>
    <col min="4" max="4" width="11" bestFit="1" customWidth="1"/>
  </cols>
  <sheetData>
    <row r="3" spans="1:6" x14ac:dyDescent="0.3">
      <c r="A3" s="6" t="s">
        <v>1565</v>
      </c>
      <c r="B3" t="s">
        <v>1555</v>
      </c>
      <c r="D3" t="s">
        <v>4</v>
      </c>
      <c r="E3" t="s">
        <v>0</v>
      </c>
      <c r="F3" t="s">
        <v>1568</v>
      </c>
    </row>
    <row r="4" spans="1:6" x14ac:dyDescent="0.3">
      <c r="A4" s="7" t="s">
        <v>161</v>
      </c>
      <c r="B4">
        <v>12</v>
      </c>
      <c r="D4" t="str">
        <f>A4</f>
        <v>HR</v>
      </c>
      <c r="E4">
        <f>GETPIVOTDATA("CF_attrition count",$A$3,"Department",A4)</f>
        <v>12</v>
      </c>
      <c r="F4" s="3">
        <f>E4/GETPIVOTDATA("CF_attrition count",$A$3)</f>
        <v>5.0632911392405063E-2</v>
      </c>
    </row>
    <row r="5" spans="1:6" x14ac:dyDescent="0.3">
      <c r="A5" s="7" t="s">
        <v>60</v>
      </c>
      <c r="B5">
        <v>133</v>
      </c>
      <c r="D5" t="str">
        <f t="shared" ref="D5:D6" si="0">A5</f>
        <v>R&amp;D</v>
      </c>
      <c r="E5">
        <f t="shared" ref="E5:E6" si="1">GETPIVOTDATA("CF_attrition count",$A$3,"Department",A5)</f>
        <v>133</v>
      </c>
      <c r="F5" s="3">
        <f>E5/GETPIVOTDATA("CF_attrition count",$A$3)</f>
        <v>0.56118143459915615</v>
      </c>
    </row>
    <row r="6" spans="1:6" x14ac:dyDescent="0.3">
      <c r="A6" s="7" t="s">
        <v>48</v>
      </c>
      <c r="B6">
        <v>92</v>
      </c>
      <c r="D6" t="str">
        <f t="shared" si="0"/>
        <v>Sales</v>
      </c>
      <c r="E6">
        <f t="shared" si="1"/>
        <v>92</v>
      </c>
      <c r="F6" s="3">
        <f>E6/GETPIVOTDATA("CF_attrition count",$A$3)</f>
        <v>0.3881856540084388</v>
      </c>
    </row>
    <row r="7" spans="1:6" x14ac:dyDescent="0.3">
      <c r="A7" s="7" t="s">
        <v>1566</v>
      </c>
      <c r="B7">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workbookViewId="0">
      <selection activeCell="K18" sqref="K18"/>
    </sheetView>
  </sheetViews>
  <sheetFormatPr defaultColWidth="11.19921875" defaultRowHeight="15.6" x14ac:dyDescent="0.3"/>
  <cols>
    <col min="1" max="1" width="13" bestFit="1" customWidth="1"/>
    <col min="2" max="2" width="23.5" bestFit="1" customWidth="1"/>
    <col min="3" max="3" width="19.19921875" bestFit="1" customWidth="1"/>
  </cols>
  <sheetData>
    <row r="3" spans="1:2" x14ac:dyDescent="0.3">
      <c r="A3" s="6" t="s">
        <v>1565</v>
      </c>
      <c r="B3" t="s">
        <v>1567</v>
      </c>
    </row>
    <row r="4" spans="1:2" x14ac:dyDescent="0.3">
      <c r="A4" s="7" t="s">
        <v>69</v>
      </c>
      <c r="B4">
        <v>554</v>
      </c>
    </row>
    <row r="5" spans="1:2" x14ac:dyDescent="0.3">
      <c r="A5" s="7" t="s">
        <v>46</v>
      </c>
      <c r="B5">
        <v>505</v>
      </c>
    </row>
    <row r="6" spans="1:2" x14ac:dyDescent="0.3">
      <c r="A6" s="7" t="s">
        <v>58</v>
      </c>
      <c r="B6">
        <v>245</v>
      </c>
    </row>
    <row r="7" spans="1:2" x14ac:dyDescent="0.3">
      <c r="A7" s="7" t="s">
        <v>92</v>
      </c>
      <c r="B7">
        <v>97</v>
      </c>
    </row>
    <row r="8" spans="1:2" x14ac:dyDescent="0.3">
      <c r="A8" s="7" t="s">
        <v>75</v>
      </c>
      <c r="B8">
        <v>69</v>
      </c>
    </row>
    <row r="9" spans="1:2" x14ac:dyDescent="0.3">
      <c r="A9" s="7" t="s">
        <v>1566</v>
      </c>
      <c r="B9">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workbookViewId="0">
      <selection activeCell="N12" sqref="N12"/>
    </sheetView>
  </sheetViews>
  <sheetFormatPr defaultColWidth="11.19921875" defaultRowHeight="15.6" x14ac:dyDescent="0.3"/>
  <cols>
    <col min="1" max="1" width="13" bestFit="1" customWidth="1"/>
    <col min="2" max="2" width="23.5" bestFit="1" customWidth="1"/>
    <col min="4" max="4" width="12.796875" bestFit="1" customWidth="1"/>
  </cols>
  <sheetData>
    <row r="3" spans="1:5" x14ac:dyDescent="0.3">
      <c r="A3" s="6" t="s">
        <v>1565</v>
      </c>
      <c r="B3" t="s">
        <v>1567</v>
      </c>
      <c r="D3" t="s">
        <v>10</v>
      </c>
      <c r="E3" t="s">
        <v>0</v>
      </c>
    </row>
    <row r="4" spans="1:5" x14ac:dyDescent="0.3">
      <c r="A4" s="7" t="s">
        <v>79</v>
      </c>
      <c r="B4">
        <v>327</v>
      </c>
      <c r="D4" t="str">
        <f>A4</f>
        <v>Divorced</v>
      </c>
      <c r="E4">
        <f>GETPIVOTDATA("CF_attrition count",$A$3,"Marital Status",A4)</f>
        <v>327</v>
      </c>
    </row>
    <row r="5" spans="1:5" x14ac:dyDescent="0.3">
      <c r="A5" s="7" t="s">
        <v>53</v>
      </c>
      <c r="B5">
        <v>470</v>
      </c>
      <c r="D5" t="str">
        <f t="shared" ref="D5:D6" si="0">A5</f>
        <v>Single</v>
      </c>
      <c r="E5">
        <f t="shared" ref="E5:E6" si="1">GETPIVOTDATA("CF_attrition count",$A$3,"Marital Status",A5)</f>
        <v>470</v>
      </c>
    </row>
    <row r="6" spans="1:5" x14ac:dyDescent="0.3">
      <c r="A6" s="7" t="s">
        <v>64</v>
      </c>
      <c r="B6">
        <v>673</v>
      </c>
      <c r="D6" t="str">
        <f t="shared" si="0"/>
        <v>Married</v>
      </c>
      <c r="E6">
        <f t="shared" si="1"/>
        <v>673</v>
      </c>
    </row>
    <row r="7" spans="1:5" x14ac:dyDescent="0.3">
      <c r="A7" s="7" t="s">
        <v>1566</v>
      </c>
      <c r="B7">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U50"/>
  <sheetViews>
    <sheetView showGridLines="0" tabSelected="1" zoomScale="58" zoomScaleNormal="66" workbookViewId="0">
      <selection activeCell="W20" sqref="W20"/>
    </sheetView>
  </sheetViews>
  <sheetFormatPr defaultColWidth="11.19921875" defaultRowHeight="15.6" x14ac:dyDescent="0.3"/>
  <cols>
    <col min="21" max="21" width="23.5" customWidth="1"/>
  </cols>
  <sheetData>
    <row r="1" spans="1:21" x14ac:dyDescent="0.3">
      <c r="A1" s="5"/>
      <c r="B1" s="5"/>
      <c r="C1" s="5"/>
      <c r="D1" s="5"/>
      <c r="E1" s="5"/>
      <c r="F1" s="5"/>
      <c r="G1" s="5"/>
      <c r="H1" s="5"/>
      <c r="I1" s="5"/>
      <c r="J1" s="5"/>
      <c r="K1" s="5"/>
      <c r="L1" s="5"/>
      <c r="M1" s="5"/>
      <c r="N1" s="5"/>
      <c r="O1" s="5"/>
      <c r="P1" s="5"/>
      <c r="Q1" s="5"/>
      <c r="R1" s="5"/>
      <c r="S1" s="5"/>
      <c r="T1" s="5"/>
      <c r="U1" s="5"/>
    </row>
    <row r="2" spans="1:21" x14ac:dyDescent="0.3">
      <c r="A2" s="5"/>
      <c r="B2" s="5"/>
      <c r="C2" s="5"/>
      <c r="D2" s="5"/>
      <c r="E2" s="5"/>
      <c r="F2" s="5"/>
      <c r="G2" s="5"/>
      <c r="H2" s="5"/>
      <c r="I2" s="5"/>
      <c r="J2" s="5"/>
      <c r="K2" s="5"/>
      <c r="L2" s="5"/>
      <c r="M2" s="5"/>
      <c r="N2" s="5"/>
      <c r="O2" s="5"/>
      <c r="P2" s="5"/>
      <c r="Q2" s="5"/>
      <c r="R2" s="5"/>
      <c r="S2" s="5"/>
      <c r="T2" s="5"/>
      <c r="U2" s="5"/>
    </row>
    <row r="3" spans="1:21" x14ac:dyDescent="0.3">
      <c r="A3" s="5"/>
      <c r="B3" s="5"/>
      <c r="C3" s="5"/>
      <c r="D3" s="5"/>
      <c r="E3" s="5"/>
      <c r="F3" s="5"/>
      <c r="G3" s="5"/>
      <c r="H3" s="5"/>
      <c r="I3" s="5"/>
      <c r="J3" s="5"/>
      <c r="K3" s="5"/>
      <c r="L3" s="5"/>
      <c r="M3" s="5"/>
      <c r="N3" s="5"/>
      <c r="O3" s="5"/>
      <c r="P3" s="5"/>
      <c r="Q3" s="5"/>
      <c r="R3" s="5"/>
      <c r="S3" s="5"/>
      <c r="T3" s="5"/>
      <c r="U3" s="5"/>
    </row>
    <row r="4" spans="1:21" x14ac:dyDescent="0.3">
      <c r="A4" s="5"/>
      <c r="B4" s="5"/>
      <c r="C4" s="5"/>
      <c r="D4" s="5"/>
      <c r="E4" s="5"/>
      <c r="F4" s="5"/>
      <c r="G4" s="5"/>
      <c r="H4" s="5"/>
      <c r="I4" s="5"/>
      <c r="J4" s="5"/>
      <c r="K4" s="5"/>
      <c r="L4" s="5"/>
      <c r="M4" s="5"/>
      <c r="N4" s="5"/>
      <c r="O4" s="5"/>
      <c r="P4" s="5"/>
      <c r="Q4" s="5"/>
      <c r="R4" s="5"/>
      <c r="S4" s="5"/>
      <c r="T4" s="5"/>
      <c r="U4" s="5"/>
    </row>
    <row r="5" spans="1:21" x14ac:dyDescent="0.3">
      <c r="A5" s="5"/>
      <c r="B5" s="5"/>
      <c r="C5" s="5"/>
      <c r="D5" s="5"/>
      <c r="E5" s="5"/>
      <c r="F5" s="5"/>
      <c r="G5" s="5"/>
      <c r="H5" s="5"/>
      <c r="I5" s="5"/>
      <c r="J5" s="5"/>
      <c r="K5" s="5"/>
      <c r="L5" s="5"/>
      <c r="M5" s="5"/>
      <c r="N5" s="5"/>
      <c r="O5" s="5"/>
      <c r="P5" s="5"/>
      <c r="Q5" s="5"/>
      <c r="R5" s="5"/>
      <c r="S5" s="5"/>
      <c r="T5" s="5"/>
      <c r="U5" s="5"/>
    </row>
    <row r="6" spans="1:21" x14ac:dyDescent="0.3">
      <c r="A6" s="5"/>
      <c r="B6" s="5"/>
      <c r="C6" s="5"/>
      <c r="D6" s="5"/>
      <c r="E6" s="5"/>
      <c r="F6" s="5"/>
      <c r="G6" s="5"/>
      <c r="H6" s="5"/>
      <c r="I6" s="5"/>
      <c r="J6" s="5"/>
      <c r="K6" s="5"/>
      <c r="L6" s="5"/>
      <c r="M6" s="5"/>
      <c r="N6" s="5"/>
      <c r="O6" s="5"/>
      <c r="P6" s="5"/>
      <c r="Q6" s="5"/>
      <c r="R6" s="5"/>
      <c r="S6" s="5"/>
      <c r="T6" s="5"/>
      <c r="U6" s="5"/>
    </row>
    <row r="7" spans="1:21" x14ac:dyDescent="0.3">
      <c r="A7" s="5"/>
      <c r="B7" s="5"/>
      <c r="C7" s="5"/>
      <c r="D7" s="5"/>
      <c r="E7" s="5"/>
      <c r="F7" s="5"/>
      <c r="G7" s="5"/>
      <c r="H7" s="5"/>
      <c r="I7" s="5"/>
      <c r="J7" s="5"/>
      <c r="K7" s="5"/>
      <c r="L7" s="5"/>
      <c r="M7" s="5"/>
      <c r="N7" s="5"/>
      <c r="O7" s="5"/>
      <c r="P7" s="5"/>
      <c r="Q7" s="5"/>
      <c r="R7" s="5"/>
      <c r="S7" s="5"/>
      <c r="T7" s="5"/>
      <c r="U7" s="5"/>
    </row>
    <row r="8" spans="1:21" x14ac:dyDescent="0.3">
      <c r="A8" s="5"/>
      <c r="B8" s="5"/>
      <c r="C8" s="5"/>
      <c r="D8" s="5"/>
      <c r="E8" s="5"/>
      <c r="F8" s="5"/>
      <c r="G8" s="5"/>
      <c r="H8" s="5"/>
      <c r="I8" s="5"/>
      <c r="J8" s="5"/>
      <c r="K8" s="5"/>
      <c r="L8" s="5"/>
      <c r="M8" s="5"/>
      <c r="N8" s="5"/>
      <c r="O8" s="5"/>
      <c r="P8" s="5"/>
      <c r="Q8" s="5"/>
      <c r="R8" s="5"/>
      <c r="S8" s="5"/>
      <c r="T8" s="5"/>
      <c r="U8" s="5"/>
    </row>
    <row r="9" spans="1:21" x14ac:dyDescent="0.3">
      <c r="A9" s="5"/>
      <c r="B9" s="5"/>
      <c r="C9" s="5"/>
      <c r="D9" s="5"/>
      <c r="E9" s="5"/>
      <c r="F9" s="5"/>
      <c r="G9" s="5"/>
      <c r="H9" s="5"/>
      <c r="I9" s="5"/>
      <c r="J9" s="5"/>
      <c r="K9" s="5"/>
      <c r="L9" s="5"/>
      <c r="M9" s="5"/>
      <c r="N9" s="5"/>
      <c r="O9" s="5"/>
      <c r="P9" s="5"/>
      <c r="Q9" s="5"/>
      <c r="R9" s="5"/>
      <c r="S9" s="5"/>
      <c r="T9" s="5"/>
      <c r="U9" s="5"/>
    </row>
    <row r="10" spans="1:21" x14ac:dyDescent="0.3">
      <c r="A10" s="5"/>
      <c r="B10" s="5"/>
      <c r="C10" s="5"/>
      <c r="D10" s="5"/>
      <c r="E10" s="5"/>
      <c r="F10" s="5"/>
      <c r="G10" s="5"/>
      <c r="H10" s="5"/>
      <c r="I10" s="5"/>
      <c r="J10" s="5"/>
      <c r="K10" s="5"/>
      <c r="L10" s="5"/>
      <c r="M10" s="5"/>
      <c r="N10" s="5"/>
      <c r="O10" s="5"/>
      <c r="P10" s="5"/>
      <c r="Q10" s="5"/>
      <c r="R10" s="5"/>
      <c r="S10" s="5"/>
      <c r="T10" s="5"/>
      <c r="U10" s="5"/>
    </row>
    <row r="11" spans="1:21" x14ac:dyDescent="0.3">
      <c r="A11" s="5"/>
      <c r="B11" s="5"/>
      <c r="C11" s="5"/>
      <c r="D11" s="5"/>
      <c r="E11" s="5"/>
      <c r="F11" s="5"/>
      <c r="G11" s="5"/>
      <c r="H11" s="5"/>
      <c r="I11" s="5"/>
      <c r="J11" s="5"/>
      <c r="K11" s="5"/>
      <c r="L11" s="5"/>
      <c r="M11" s="5"/>
      <c r="N11" s="5"/>
      <c r="O11" s="5"/>
      <c r="P11" s="5"/>
      <c r="Q11" s="5"/>
      <c r="R11" s="5"/>
      <c r="S11" s="5"/>
      <c r="T11" s="5"/>
      <c r="U11" s="5"/>
    </row>
    <row r="12" spans="1:21" x14ac:dyDescent="0.3">
      <c r="A12" s="5"/>
      <c r="B12" s="5"/>
      <c r="C12" s="5"/>
      <c r="D12" s="5"/>
      <c r="E12" s="5"/>
      <c r="F12" s="5"/>
      <c r="G12" s="5"/>
      <c r="H12" s="5"/>
      <c r="I12" s="5"/>
      <c r="J12" s="5"/>
      <c r="K12" s="5"/>
      <c r="L12" s="5"/>
      <c r="M12" s="5"/>
      <c r="N12" s="5"/>
      <c r="O12" s="5"/>
      <c r="P12" s="5"/>
      <c r="Q12" s="5"/>
      <c r="R12" s="5"/>
      <c r="S12" s="5"/>
      <c r="T12" s="5"/>
      <c r="U12" s="5"/>
    </row>
    <row r="13" spans="1:21" x14ac:dyDescent="0.3">
      <c r="A13" s="5"/>
      <c r="B13" s="5"/>
      <c r="C13" s="5"/>
      <c r="D13" s="5"/>
      <c r="E13" s="5"/>
      <c r="F13" s="5"/>
      <c r="G13" s="5"/>
      <c r="H13" s="5"/>
      <c r="I13" s="5"/>
      <c r="J13" s="5"/>
      <c r="K13" s="5"/>
      <c r="L13" s="5"/>
      <c r="M13" s="5"/>
      <c r="N13" s="5"/>
      <c r="O13" s="5"/>
      <c r="P13" s="5"/>
      <c r="Q13" s="5"/>
      <c r="R13" s="5"/>
      <c r="S13" s="5"/>
      <c r="T13" s="5"/>
      <c r="U13" s="5"/>
    </row>
    <row r="14" spans="1:21" x14ac:dyDescent="0.3">
      <c r="A14" s="5"/>
      <c r="B14" s="5"/>
      <c r="C14" s="5"/>
      <c r="D14" s="5"/>
      <c r="E14" s="5"/>
      <c r="F14" s="5"/>
      <c r="G14" s="5"/>
      <c r="H14" s="5"/>
      <c r="I14" s="5"/>
      <c r="J14" s="5"/>
      <c r="K14" s="5"/>
      <c r="L14" s="5"/>
      <c r="M14" s="5"/>
      <c r="N14" s="5"/>
      <c r="O14" s="5"/>
      <c r="P14" s="5"/>
      <c r="Q14" s="5"/>
      <c r="R14" s="5"/>
      <c r="S14" s="5"/>
      <c r="T14" s="5"/>
      <c r="U14" s="5"/>
    </row>
    <row r="15" spans="1:21" x14ac:dyDescent="0.3">
      <c r="A15" s="5"/>
      <c r="B15" s="5"/>
      <c r="C15" s="5"/>
      <c r="D15" s="5"/>
      <c r="E15" s="5"/>
      <c r="F15" s="5"/>
      <c r="G15" s="5"/>
      <c r="H15" s="5"/>
      <c r="I15" s="5"/>
      <c r="J15" s="5"/>
      <c r="K15" s="5"/>
      <c r="L15" s="5"/>
      <c r="M15" s="5"/>
      <c r="N15" s="5"/>
      <c r="O15" s="5"/>
      <c r="P15" s="5"/>
      <c r="Q15" s="5"/>
      <c r="R15" s="5"/>
      <c r="S15" s="5"/>
      <c r="T15" s="5"/>
      <c r="U15" s="5"/>
    </row>
    <row r="16" spans="1:21" x14ac:dyDescent="0.3">
      <c r="A16" s="5"/>
      <c r="B16" s="5"/>
      <c r="C16" s="5"/>
      <c r="D16" s="5"/>
      <c r="E16" s="5"/>
      <c r="F16" s="5"/>
      <c r="G16" s="5"/>
      <c r="H16" s="5"/>
      <c r="I16" s="5"/>
      <c r="J16" s="5"/>
      <c r="K16" s="5"/>
      <c r="L16" s="5"/>
      <c r="M16" s="5"/>
      <c r="N16" s="5"/>
      <c r="O16" s="5"/>
      <c r="P16" s="5"/>
      <c r="Q16" s="5"/>
      <c r="R16" s="5"/>
      <c r="S16" s="5"/>
      <c r="T16" s="5"/>
      <c r="U16" s="5"/>
    </row>
    <row r="17" spans="1:21" x14ac:dyDescent="0.3">
      <c r="A17" s="5"/>
      <c r="B17" s="5"/>
      <c r="C17" s="5"/>
      <c r="D17" s="5"/>
      <c r="E17" s="5"/>
      <c r="F17" s="5"/>
      <c r="G17" s="5"/>
      <c r="H17" s="5"/>
      <c r="I17" s="5"/>
      <c r="J17" s="5"/>
      <c r="K17" s="5"/>
      <c r="L17" s="5"/>
      <c r="M17" s="5"/>
      <c r="N17" s="5"/>
      <c r="O17" s="5"/>
      <c r="P17" s="5"/>
      <c r="Q17" s="5"/>
      <c r="R17" s="5"/>
      <c r="S17" s="5"/>
      <c r="T17" s="5"/>
      <c r="U17" s="5"/>
    </row>
    <row r="18" spans="1:21" x14ac:dyDescent="0.3">
      <c r="A18" s="5"/>
      <c r="B18" s="5"/>
      <c r="C18" s="5"/>
      <c r="D18" s="5"/>
      <c r="E18" s="5"/>
      <c r="F18" s="5"/>
      <c r="G18" s="5"/>
      <c r="H18" s="5"/>
      <c r="I18" s="5"/>
      <c r="J18" s="5"/>
      <c r="K18" s="5"/>
      <c r="L18" s="5"/>
      <c r="M18" s="5"/>
      <c r="N18" s="5"/>
      <c r="O18" s="5"/>
      <c r="P18" s="5"/>
      <c r="Q18" s="5"/>
      <c r="R18" s="5"/>
      <c r="S18" s="5"/>
      <c r="T18" s="5"/>
      <c r="U18" s="5"/>
    </row>
    <row r="19" spans="1:21" x14ac:dyDescent="0.3">
      <c r="A19" s="5"/>
      <c r="B19" s="5"/>
      <c r="C19" s="5"/>
      <c r="D19" s="5"/>
      <c r="E19" s="5"/>
      <c r="F19" s="5"/>
      <c r="G19" s="5"/>
      <c r="H19" s="5"/>
      <c r="I19" s="5"/>
      <c r="J19" s="5"/>
      <c r="K19" s="5"/>
      <c r="L19" s="5"/>
      <c r="M19" s="5"/>
      <c r="N19" s="5"/>
      <c r="O19" s="5"/>
      <c r="P19" s="5"/>
      <c r="Q19" s="5"/>
      <c r="R19" s="5"/>
      <c r="S19" s="5"/>
      <c r="T19" s="5"/>
      <c r="U19" s="5"/>
    </row>
    <row r="20" spans="1:21" x14ac:dyDescent="0.3">
      <c r="A20" s="5"/>
      <c r="B20" s="5"/>
      <c r="C20" s="5"/>
      <c r="D20" s="5"/>
      <c r="E20" s="5"/>
      <c r="F20" s="5"/>
      <c r="G20" s="5"/>
      <c r="H20" s="5"/>
      <c r="I20" s="5"/>
      <c r="J20" s="5"/>
      <c r="K20" s="5"/>
      <c r="L20" s="5"/>
      <c r="M20" s="5"/>
      <c r="N20" s="5"/>
      <c r="O20" s="5"/>
      <c r="P20" s="5"/>
      <c r="Q20" s="5"/>
      <c r="R20" s="5"/>
      <c r="S20" s="5"/>
      <c r="T20" s="5"/>
      <c r="U20" s="5"/>
    </row>
    <row r="21" spans="1:21" x14ac:dyDescent="0.3">
      <c r="A21" s="5"/>
      <c r="B21" s="5"/>
      <c r="C21" s="5"/>
      <c r="D21" s="5"/>
      <c r="E21" s="5"/>
      <c r="F21" s="5"/>
      <c r="G21" s="5"/>
      <c r="H21" s="5"/>
      <c r="I21" s="5"/>
      <c r="J21" s="5"/>
      <c r="K21" s="5"/>
      <c r="L21" s="5"/>
      <c r="M21" s="5"/>
      <c r="N21" s="5"/>
      <c r="O21" s="5"/>
      <c r="P21" s="5"/>
      <c r="Q21" s="5"/>
      <c r="R21" s="5"/>
      <c r="S21" s="5"/>
      <c r="T21" s="5"/>
      <c r="U21" s="5"/>
    </row>
    <row r="22" spans="1:21" x14ac:dyDescent="0.3">
      <c r="A22" s="5"/>
      <c r="B22" s="5"/>
      <c r="C22" s="5"/>
      <c r="D22" s="5"/>
      <c r="E22" s="5"/>
      <c r="F22" s="5"/>
      <c r="G22" s="5"/>
      <c r="H22" s="5"/>
      <c r="I22" s="5"/>
      <c r="J22" s="5"/>
      <c r="K22" s="5"/>
      <c r="L22" s="5"/>
      <c r="M22" s="5"/>
      <c r="N22" s="5"/>
      <c r="O22" s="5"/>
      <c r="P22" s="5"/>
      <c r="Q22" s="5"/>
      <c r="R22" s="5"/>
      <c r="S22" s="5"/>
      <c r="T22" s="5"/>
      <c r="U22" s="5"/>
    </row>
    <row r="23" spans="1:21" x14ac:dyDescent="0.3">
      <c r="A23" s="5"/>
      <c r="B23" s="5"/>
      <c r="C23" s="5"/>
      <c r="D23" s="5"/>
      <c r="E23" s="5"/>
      <c r="F23" s="5"/>
      <c r="G23" s="5"/>
      <c r="H23" s="5"/>
      <c r="I23" s="5"/>
      <c r="J23" s="5"/>
      <c r="K23" s="5"/>
      <c r="L23" s="5"/>
      <c r="M23" s="5"/>
      <c r="N23" s="5"/>
      <c r="O23" s="5"/>
      <c r="P23" s="5"/>
      <c r="Q23" s="5"/>
      <c r="R23" s="5"/>
      <c r="S23" s="5"/>
      <c r="T23" s="5"/>
      <c r="U23" s="5"/>
    </row>
    <row r="24" spans="1:21" x14ac:dyDescent="0.3">
      <c r="A24" s="5"/>
      <c r="B24" s="5"/>
      <c r="C24" s="5"/>
      <c r="D24" s="5"/>
      <c r="E24" s="5"/>
      <c r="F24" s="5"/>
      <c r="G24" s="5"/>
      <c r="H24" s="5"/>
      <c r="I24" s="5"/>
      <c r="J24" s="5"/>
      <c r="K24" s="5"/>
      <c r="L24" s="5"/>
      <c r="M24" s="5"/>
      <c r="N24" s="5"/>
      <c r="O24" s="5"/>
      <c r="P24" s="5"/>
      <c r="Q24" s="5"/>
      <c r="R24" s="5"/>
      <c r="S24" s="5"/>
      <c r="T24" s="5"/>
      <c r="U24" s="5"/>
    </row>
    <row r="25" spans="1:21" x14ac:dyDescent="0.3">
      <c r="A25" s="5"/>
      <c r="B25" s="5"/>
      <c r="C25" s="5"/>
      <c r="D25" s="5"/>
      <c r="E25" s="5"/>
      <c r="F25" s="5"/>
      <c r="G25" s="5"/>
      <c r="H25" s="5"/>
      <c r="I25" s="5"/>
      <c r="J25" s="5"/>
      <c r="K25" s="5"/>
      <c r="L25" s="5"/>
      <c r="M25" s="5"/>
      <c r="N25" s="5"/>
      <c r="O25" s="5"/>
      <c r="P25" s="5"/>
      <c r="Q25" s="5"/>
      <c r="R25" s="5"/>
      <c r="S25" s="5"/>
      <c r="T25" s="5"/>
      <c r="U25" s="5"/>
    </row>
    <row r="26" spans="1:21" x14ac:dyDescent="0.3">
      <c r="A26" s="5"/>
      <c r="B26" s="5"/>
      <c r="C26" s="5"/>
      <c r="D26" s="5"/>
      <c r="E26" s="5"/>
      <c r="F26" s="5"/>
      <c r="G26" s="5"/>
      <c r="H26" s="5"/>
      <c r="I26" s="5"/>
      <c r="J26" s="5"/>
      <c r="K26" s="5"/>
      <c r="L26" s="5"/>
      <c r="M26" s="5"/>
      <c r="N26" s="5"/>
      <c r="O26" s="5"/>
      <c r="P26" s="5"/>
      <c r="Q26" s="5"/>
      <c r="R26" s="5"/>
      <c r="S26" s="5"/>
      <c r="T26" s="5"/>
      <c r="U26" s="5"/>
    </row>
    <row r="27" spans="1:21" x14ac:dyDescent="0.3">
      <c r="A27" s="5"/>
      <c r="B27" s="5"/>
      <c r="C27" s="5"/>
      <c r="D27" s="5"/>
      <c r="E27" s="5"/>
      <c r="F27" s="5"/>
      <c r="G27" s="5"/>
      <c r="H27" s="5"/>
      <c r="I27" s="5"/>
      <c r="J27" s="5"/>
      <c r="K27" s="5"/>
      <c r="L27" s="5"/>
      <c r="M27" s="5"/>
      <c r="N27" s="5"/>
      <c r="O27" s="5"/>
      <c r="P27" s="5"/>
      <c r="Q27" s="5"/>
      <c r="R27" s="5"/>
      <c r="S27" s="5"/>
      <c r="T27" s="5"/>
      <c r="U27" s="5"/>
    </row>
    <row r="28" spans="1:21" x14ac:dyDescent="0.3">
      <c r="A28" s="5"/>
      <c r="B28" s="5"/>
      <c r="C28" s="5"/>
      <c r="D28" s="5"/>
      <c r="E28" s="5"/>
      <c r="F28" s="5"/>
      <c r="G28" s="5"/>
      <c r="H28" s="5"/>
      <c r="I28" s="5"/>
      <c r="J28" s="5"/>
      <c r="K28" s="5"/>
      <c r="L28" s="5"/>
      <c r="M28" s="5"/>
      <c r="N28" s="5"/>
      <c r="O28" s="5"/>
      <c r="P28" s="5"/>
      <c r="Q28" s="5"/>
      <c r="R28" s="5"/>
      <c r="S28" s="5"/>
      <c r="T28" s="5"/>
      <c r="U28" s="5"/>
    </row>
    <row r="29" spans="1:21" x14ac:dyDescent="0.3">
      <c r="A29" s="5"/>
      <c r="B29" s="5"/>
      <c r="C29" s="5"/>
      <c r="D29" s="5"/>
      <c r="E29" s="5"/>
      <c r="F29" s="5"/>
      <c r="G29" s="5"/>
      <c r="H29" s="5"/>
      <c r="I29" s="5"/>
      <c r="J29" s="5"/>
      <c r="K29" s="5"/>
      <c r="L29" s="5"/>
      <c r="M29" s="5"/>
      <c r="N29" s="5"/>
      <c r="O29" s="5"/>
      <c r="P29" s="5"/>
      <c r="Q29" s="5"/>
      <c r="R29" s="5"/>
      <c r="S29" s="5"/>
      <c r="T29" s="5"/>
      <c r="U29" s="5"/>
    </row>
    <row r="30" spans="1:21" x14ac:dyDescent="0.3">
      <c r="A30" s="5"/>
      <c r="B30" s="5"/>
      <c r="C30" s="5"/>
      <c r="D30" s="5"/>
      <c r="E30" s="5"/>
      <c r="F30" s="5"/>
      <c r="G30" s="5"/>
      <c r="H30" s="5"/>
      <c r="I30" s="5"/>
      <c r="J30" s="5"/>
      <c r="K30" s="5"/>
      <c r="L30" s="5"/>
      <c r="M30" s="5"/>
      <c r="N30" s="5"/>
      <c r="O30" s="5"/>
      <c r="P30" s="5"/>
      <c r="Q30" s="5"/>
      <c r="R30" s="5"/>
      <c r="S30" s="5"/>
      <c r="T30" s="5"/>
      <c r="U30" s="5"/>
    </row>
    <row r="31" spans="1:21" x14ac:dyDescent="0.3">
      <c r="A31" s="5"/>
      <c r="B31" s="5"/>
      <c r="C31" s="5"/>
      <c r="D31" s="5"/>
      <c r="E31" s="5"/>
      <c r="F31" s="5"/>
      <c r="G31" s="5"/>
      <c r="H31" s="5"/>
      <c r="I31" s="5"/>
      <c r="J31" s="5"/>
      <c r="K31" s="5"/>
      <c r="L31" s="5"/>
      <c r="M31" s="5"/>
      <c r="N31" s="5"/>
      <c r="O31" s="5"/>
      <c r="P31" s="5"/>
      <c r="Q31" s="5"/>
      <c r="R31" s="5"/>
      <c r="S31" s="5"/>
      <c r="T31" s="5"/>
      <c r="U31" s="5"/>
    </row>
    <row r="32" spans="1:21" x14ac:dyDescent="0.3">
      <c r="A32" s="5"/>
      <c r="B32" s="5"/>
      <c r="C32" s="5"/>
      <c r="D32" s="5"/>
      <c r="E32" s="5"/>
      <c r="F32" s="5"/>
      <c r="G32" s="5"/>
      <c r="H32" s="5"/>
      <c r="I32" s="5"/>
      <c r="J32" s="5"/>
      <c r="K32" s="5"/>
      <c r="L32" s="5"/>
      <c r="M32" s="5"/>
      <c r="N32" s="5"/>
      <c r="O32" s="5"/>
      <c r="P32" s="5"/>
      <c r="Q32" s="5"/>
      <c r="R32" s="5"/>
      <c r="S32" s="5"/>
      <c r="T32" s="5"/>
      <c r="U32" s="5"/>
    </row>
    <row r="33" spans="1:21" x14ac:dyDescent="0.3">
      <c r="A33" s="5"/>
      <c r="B33" s="5"/>
      <c r="C33" s="5"/>
      <c r="D33" s="5"/>
      <c r="E33" s="5"/>
      <c r="F33" s="5"/>
      <c r="G33" s="5"/>
      <c r="H33" s="5"/>
      <c r="I33" s="5"/>
      <c r="J33" s="5"/>
      <c r="K33" s="5"/>
      <c r="L33" s="5"/>
      <c r="M33" s="5"/>
      <c r="N33" s="5"/>
      <c r="O33" s="5"/>
      <c r="P33" s="5"/>
      <c r="Q33" s="5"/>
      <c r="R33" s="5"/>
      <c r="S33" s="5"/>
      <c r="T33" s="5"/>
      <c r="U33" s="5"/>
    </row>
    <row r="34" spans="1:21" x14ac:dyDescent="0.3">
      <c r="A34" s="5"/>
      <c r="B34" s="5"/>
      <c r="C34" s="5"/>
      <c r="D34" s="5"/>
      <c r="E34" s="5"/>
      <c r="F34" s="5"/>
      <c r="G34" s="5"/>
      <c r="H34" s="5"/>
      <c r="I34" s="5"/>
      <c r="J34" s="5"/>
      <c r="K34" s="5"/>
      <c r="L34" s="5"/>
      <c r="M34" s="5"/>
      <c r="N34" s="5"/>
      <c r="O34" s="5"/>
      <c r="P34" s="5"/>
      <c r="Q34" s="5"/>
      <c r="R34" s="5"/>
      <c r="S34" s="5"/>
      <c r="T34" s="5"/>
      <c r="U34" s="5"/>
    </row>
    <row r="35" spans="1:21" x14ac:dyDescent="0.3">
      <c r="A35" s="5"/>
      <c r="B35" s="5"/>
      <c r="C35" s="5"/>
      <c r="D35" s="5"/>
      <c r="E35" s="5"/>
      <c r="F35" s="5"/>
      <c r="G35" s="5"/>
      <c r="H35" s="5"/>
      <c r="I35" s="5"/>
      <c r="J35" s="5"/>
      <c r="K35" s="5"/>
      <c r="L35" s="5"/>
      <c r="M35" s="5"/>
      <c r="N35" s="5"/>
      <c r="O35" s="5"/>
      <c r="P35" s="5"/>
      <c r="Q35" s="5"/>
      <c r="R35" s="5"/>
      <c r="S35" s="5"/>
      <c r="T35" s="5"/>
      <c r="U35" s="5"/>
    </row>
    <row r="36" spans="1:21" x14ac:dyDescent="0.3">
      <c r="A36" s="5"/>
      <c r="B36" s="5"/>
      <c r="C36" s="5"/>
      <c r="D36" s="5"/>
      <c r="E36" s="5"/>
      <c r="F36" s="5"/>
      <c r="G36" s="5"/>
      <c r="H36" s="5"/>
      <c r="I36" s="5"/>
      <c r="J36" s="5"/>
      <c r="K36" s="5"/>
      <c r="L36" s="5"/>
      <c r="M36" s="5"/>
      <c r="N36" s="5"/>
      <c r="O36" s="5"/>
      <c r="P36" s="5"/>
      <c r="Q36" s="5"/>
      <c r="R36" s="5"/>
      <c r="S36" s="5"/>
      <c r="T36" s="5"/>
      <c r="U36" s="5"/>
    </row>
    <row r="37" spans="1:21" x14ac:dyDescent="0.3">
      <c r="A37" s="5"/>
      <c r="B37" s="5"/>
      <c r="C37" s="5"/>
      <c r="D37" s="5"/>
      <c r="E37" s="5"/>
      <c r="F37" s="5"/>
      <c r="G37" s="5"/>
      <c r="H37" s="5"/>
      <c r="I37" s="5"/>
      <c r="J37" s="5"/>
      <c r="K37" s="5"/>
      <c r="L37" s="5"/>
      <c r="M37" s="5"/>
      <c r="N37" s="5"/>
      <c r="O37" s="5"/>
      <c r="P37" s="5"/>
      <c r="Q37" s="5"/>
      <c r="R37" s="5"/>
      <c r="S37" s="5"/>
      <c r="T37" s="5"/>
      <c r="U37" s="5"/>
    </row>
    <row r="38" spans="1:21" x14ac:dyDescent="0.3">
      <c r="A38" s="5"/>
      <c r="B38" s="5"/>
      <c r="C38" s="5"/>
      <c r="D38" s="5"/>
      <c r="E38" s="5"/>
      <c r="F38" s="5"/>
      <c r="G38" s="5"/>
      <c r="H38" s="5"/>
      <c r="I38" s="5"/>
      <c r="J38" s="5"/>
      <c r="K38" s="5"/>
      <c r="L38" s="5"/>
      <c r="M38" s="5"/>
      <c r="N38" s="5"/>
      <c r="O38" s="5"/>
      <c r="P38" s="5"/>
      <c r="Q38" s="5"/>
      <c r="R38" s="5"/>
      <c r="S38" s="5"/>
      <c r="T38" s="5"/>
      <c r="U38" s="5"/>
    </row>
    <row r="39" spans="1:21" x14ac:dyDescent="0.3">
      <c r="A39" s="5"/>
      <c r="B39" s="5"/>
      <c r="C39" s="5"/>
      <c r="D39" s="5"/>
      <c r="E39" s="5"/>
      <c r="F39" s="5"/>
      <c r="G39" s="5"/>
      <c r="H39" s="5"/>
      <c r="I39" s="5"/>
      <c r="J39" s="5"/>
      <c r="K39" s="5"/>
      <c r="L39" s="5"/>
      <c r="M39" s="5"/>
      <c r="N39" s="5"/>
      <c r="O39" s="5"/>
      <c r="P39" s="5"/>
      <c r="Q39" s="5"/>
      <c r="R39" s="5"/>
      <c r="S39" s="5"/>
      <c r="T39" s="5"/>
      <c r="U39" s="5"/>
    </row>
    <row r="40" spans="1:21" x14ac:dyDescent="0.3">
      <c r="A40" s="5"/>
      <c r="B40" s="5"/>
      <c r="C40" s="5"/>
      <c r="D40" s="5"/>
      <c r="E40" s="5"/>
      <c r="F40" s="5"/>
      <c r="G40" s="5"/>
      <c r="H40" s="5"/>
      <c r="I40" s="5"/>
      <c r="J40" s="5"/>
      <c r="K40" s="5"/>
      <c r="L40" s="5"/>
      <c r="M40" s="5"/>
      <c r="N40" s="5"/>
      <c r="O40" s="5"/>
      <c r="P40" s="5"/>
      <c r="Q40" s="5"/>
      <c r="R40" s="5"/>
      <c r="S40" s="5"/>
      <c r="T40" s="5"/>
      <c r="U40" s="5"/>
    </row>
    <row r="41" spans="1:21" x14ac:dyDescent="0.3">
      <c r="A41" s="5"/>
      <c r="B41" s="5"/>
      <c r="C41" s="5"/>
      <c r="D41" s="5"/>
      <c r="E41" s="5"/>
      <c r="F41" s="5"/>
      <c r="G41" s="5"/>
      <c r="H41" s="5"/>
      <c r="I41" s="5"/>
      <c r="J41" s="5"/>
      <c r="K41" s="5"/>
      <c r="L41" s="5"/>
      <c r="M41" s="5"/>
      <c r="N41" s="5"/>
      <c r="O41" s="5"/>
      <c r="P41" s="5"/>
      <c r="Q41" s="5"/>
      <c r="R41" s="5"/>
      <c r="S41" s="5"/>
      <c r="T41" s="5"/>
      <c r="U41" s="5"/>
    </row>
    <row r="42" spans="1:21" x14ac:dyDescent="0.3">
      <c r="A42" s="5"/>
      <c r="B42" s="5"/>
      <c r="C42" s="5"/>
      <c r="D42" s="5"/>
      <c r="E42" s="5"/>
      <c r="F42" s="5"/>
      <c r="G42" s="5"/>
      <c r="H42" s="5"/>
      <c r="I42" s="5"/>
      <c r="J42" s="5"/>
      <c r="K42" s="5"/>
      <c r="L42" s="5"/>
      <c r="M42" s="5"/>
      <c r="N42" s="5"/>
      <c r="O42" s="5"/>
      <c r="P42" s="5"/>
      <c r="Q42" s="5"/>
      <c r="R42" s="5"/>
      <c r="S42" s="5"/>
      <c r="T42" s="5"/>
      <c r="U42" s="5"/>
    </row>
    <row r="43" spans="1:21" x14ac:dyDescent="0.3">
      <c r="A43" s="5"/>
      <c r="B43" s="5"/>
      <c r="C43" s="5"/>
      <c r="D43" s="5"/>
      <c r="E43" s="5"/>
      <c r="F43" s="5"/>
      <c r="G43" s="5"/>
      <c r="H43" s="5"/>
      <c r="I43" s="5"/>
      <c r="J43" s="5"/>
      <c r="K43" s="5"/>
      <c r="L43" s="5"/>
      <c r="M43" s="5"/>
      <c r="N43" s="5"/>
      <c r="O43" s="5"/>
      <c r="P43" s="5"/>
      <c r="Q43" s="5"/>
      <c r="R43" s="5"/>
      <c r="S43" s="5"/>
      <c r="T43" s="5"/>
      <c r="U43" s="5"/>
    </row>
    <row r="44" spans="1:21" x14ac:dyDescent="0.3">
      <c r="A44" s="5"/>
      <c r="B44" s="5"/>
      <c r="C44" s="5"/>
      <c r="D44" s="5"/>
      <c r="E44" s="5"/>
      <c r="F44" s="5"/>
      <c r="G44" s="5"/>
      <c r="H44" s="5"/>
      <c r="I44" s="5"/>
      <c r="J44" s="5"/>
      <c r="K44" s="5"/>
      <c r="L44" s="5"/>
      <c r="M44" s="5"/>
      <c r="N44" s="5"/>
      <c r="O44" s="5"/>
      <c r="P44" s="5"/>
      <c r="Q44" s="5"/>
      <c r="R44" s="5"/>
      <c r="S44" s="5"/>
      <c r="T44" s="5"/>
      <c r="U44" s="5"/>
    </row>
    <row r="45" spans="1:21" x14ac:dyDescent="0.3">
      <c r="A45" s="5"/>
      <c r="B45" s="5"/>
      <c r="C45" s="5"/>
      <c r="D45" s="5"/>
      <c r="E45" s="5"/>
      <c r="F45" s="5"/>
      <c r="G45" s="5"/>
      <c r="H45" s="5"/>
      <c r="I45" s="5"/>
      <c r="J45" s="5"/>
      <c r="K45" s="5"/>
      <c r="L45" s="5"/>
      <c r="M45" s="5"/>
      <c r="N45" s="5"/>
      <c r="O45" s="5"/>
      <c r="P45" s="5"/>
      <c r="Q45" s="5"/>
      <c r="R45" s="5"/>
      <c r="S45" s="5"/>
      <c r="T45" s="5"/>
      <c r="U45" s="5"/>
    </row>
    <row r="46" spans="1:21" x14ac:dyDescent="0.3">
      <c r="A46" s="5"/>
      <c r="B46" s="5"/>
      <c r="C46" s="5"/>
      <c r="D46" s="5"/>
      <c r="E46" s="5"/>
      <c r="F46" s="5"/>
      <c r="G46" s="5"/>
      <c r="H46" s="5"/>
      <c r="I46" s="5"/>
      <c r="J46" s="5"/>
      <c r="K46" s="5"/>
      <c r="L46" s="5"/>
      <c r="M46" s="5"/>
      <c r="N46" s="5"/>
      <c r="O46" s="5"/>
      <c r="P46" s="5"/>
      <c r="Q46" s="5"/>
      <c r="R46" s="5"/>
      <c r="S46" s="5"/>
      <c r="T46" s="5"/>
      <c r="U46" s="5"/>
    </row>
    <row r="47" spans="1:21" x14ac:dyDescent="0.3">
      <c r="A47" s="5"/>
      <c r="B47" s="5"/>
      <c r="C47" s="5"/>
      <c r="D47" s="5"/>
      <c r="E47" s="5"/>
      <c r="F47" s="5"/>
      <c r="G47" s="5"/>
      <c r="H47" s="5"/>
      <c r="I47" s="5"/>
      <c r="J47" s="5"/>
      <c r="K47" s="5"/>
      <c r="L47" s="5"/>
      <c r="M47" s="5"/>
      <c r="N47" s="5"/>
      <c r="O47" s="5"/>
      <c r="P47" s="5"/>
      <c r="Q47" s="5"/>
      <c r="R47" s="5"/>
      <c r="S47" s="5"/>
      <c r="T47" s="5"/>
      <c r="U47" s="5"/>
    </row>
    <row r="48" spans="1:21" x14ac:dyDescent="0.3">
      <c r="A48" s="5"/>
      <c r="B48" s="5"/>
      <c r="C48" s="5"/>
      <c r="D48" s="5"/>
      <c r="E48" s="5"/>
      <c r="F48" s="5"/>
      <c r="G48" s="5"/>
      <c r="H48" s="5"/>
      <c r="I48" s="5"/>
      <c r="J48" s="5"/>
      <c r="K48" s="5"/>
      <c r="L48" s="5"/>
      <c r="M48" s="5"/>
      <c r="N48" s="5"/>
      <c r="O48" s="5"/>
      <c r="P48" s="5"/>
      <c r="Q48" s="5"/>
      <c r="R48" s="5"/>
      <c r="S48" s="5"/>
      <c r="T48" s="5"/>
      <c r="U48" s="5"/>
    </row>
    <row r="49" spans="1:21" x14ac:dyDescent="0.3">
      <c r="A49" s="5"/>
      <c r="B49" s="5"/>
      <c r="C49" s="5"/>
      <c r="D49" s="5"/>
      <c r="E49" s="5"/>
      <c r="F49" s="5"/>
      <c r="G49" s="5"/>
      <c r="H49" s="5"/>
      <c r="I49" s="5"/>
      <c r="J49" s="5"/>
      <c r="K49" s="5"/>
      <c r="L49" s="5"/>
      <c r="M49" s="5"/>
      <c r="N49" s="5"/>
      <c r="O49" s="5"/>
      <c r="P49" s="5"/>
      <c r="Q49" s="5"/>
      <c r="R49" s="5"/>
      <c r="S49" s="5"/>
      <c r="T49" s="5"/>
      <c r="U49" s="5"/>
    </row>
    <row r="50" spans="1:21" x14ac:dyDescent="0.3">
      <c r="A50" s="5"/>
      <c r="B50" s="5"/>
      <c r="C50" s="5"/>
      <c r="D50" s="5"/>
      <c r="E50" s="5"/>
      <c r="F50" s="5"/>
      <c r="G50" s="5"/>
      <c r="H50" s="5"/>
      <c r="I50" s="5"/>
      <c r="J50" s="5"/>
      <c r="K50" s="5"/>
      <c r="L50" s="5"/>
      <c r="M50" s="5"/>
      <c r="N50" s="5"/>
      <c r="O50" s="5"/>
      <c r="P50" s="5"/>
      <c r="Q50" s="5"/>
      <c r="R50" s="5"/>
      <c r="S50" s="5"/>
      <c r="T50" s="5"/>
      <c r="U5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workbookViewId="0">
      <selection activeCell="K42" sqref="K42"/>
    </sheetView>
  </sheetViews>
  <sheetFormatPr defaultColWidth="8.796875" defaultRowHeight="15.6"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85" zoomScaleNormal="85" workbookViewId="0">
      <selection activeCell="W16" sqref="W16"/>
    </sheetView>
  </sheetViews>
  <sheetFormatPr defaultColWidth="8.796875" defaultRowHeight="15.6"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796875" defaultRowHeight="15.6"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85" zoomScaleNormal="85" workbookViewId="0">
      <selection activeCell="B27" sqref="B27"/>
    </sheetView>
  </sheetViews>
  <sheetFormatPr defaultColWidth="8.796875" defaultRowHeight="15.6"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Background 1</vt:lpstr>
      <vt:lpstr>Background 2</vt:lpstr>
      <vt:lpstr>Background 3</vt:lpstr>
      <vt:lpstr>Background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Jyotirmay Mohanty</cp:lastModifiedBy>
  <dcterms:created xsi:type="dcterms:W3CDTF">2022-12-29T16:02:46Z</dcterms:created>
  <dcterms:modified xsi:type="dcterms:W3CDTF">2025-12-28T15:29:34Z</dcterms:modified>
</cp:coreProperties>
</file>